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aktakala\Desktop\Projects\JIC_LIB2\JIC_LIB2_V028w\JIC_DOC\whitepages\Nuclear\PointKinetics\Report\"/>
    </mc:Choice>
  </mc:AlternateContent>
  <bookViews>
    <workbookView xWindow="0" yWindow="0" windowWidth="22260" windowHeight="12645" activeTab="1"/>
  </bookViews>
  <sheets>
    <sheet name="Cp" sheetId="1" r:id="rId1"/>
    <sheet name="RhoEOL" sheetId="2" r:id="rId2"/>
    <sheet name="RhoBOL" sheetId="3" r:id="rId3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4" i="3" l="1"/>
  <c r="F23" i="3"/>
  <c r="F22" i="3"/>
  <c r="F21" i="3"/>
  <c r="F20" i="3"/>
  <c r="F19" i="3"/>
  <c r="F18" i="3"/>
  <c r="F17" i="3"/>
  <c r="F16" i="3"/>
  <c r="B16" i="3"/>
  <c r="F15" i="3"/>
  <c r="B15" i="3"/>
  <c r="F14" i="3"/>
  <c r="B14" i="3"/>
  <c r="F13" i="3"/>
  <c r="B13" i="3"/>
  <c r="F12" i="3"/>
  <c r="B12" i="3"/>
  <c r="F11" i="3"/>
  <c r="F10" i="3"/>
  <c r="F9" i="3"/>
  <c r="F8" i="3"/>
  <c r="F7" i="3"/>
  <c r="F6" i="3"/>
  <c r="F5" i="3"/>
  <c r="F4" i="3"/>
  <c r="B13" i="2"/>
  <c r="B14" i="2"/>
  <c r="B15" i="2"/>
  <c r="B16" i="2"/>
  <c r="B12" i="2"/>
  <c r="G24" i="3"/>
  <c r="G22" i="3"/>
  <c r="G20" i="3"/>
  <c r="G18" i="3"/>
  <c r="G16" i="3"/>
  <c r="G12" i="3"/>
  <c r="G9" i="3"/>
  <c r="G5" i="3"/>
  <c r="G13" i="3"/>
  <c r="G10" i="3"/>
  <c r="G8" i="3"/>
  <c r="G6" i="3"/>
  <c r="G4" i="3"/>
  <c r="G23" i="3"/>
  <c r="G21" i="3"/>
  <c r="G19" i="3"/>
  <c r="G17" i="3"/>
  <c r="G14" i="3"/>
  <c r="G15" i="3"/>
  <c r="G11" i="3"/>
  <c r="G7" i="3"/>
  <c r="F5" i="2" l="1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4" i="2"/>
  <c r="H19" i="1"/>
  <c r="H20" i="1"/>
  <c r="H21" i="1"/>
  <c r="H22" i="1"/>
  <c r="H23" i="1"/>
  <c r="H24" i="1"/>
  <c r="H25" i="1"/>
  <c r="H26" i="1"/>
  <c r="H27" i="1"/>
  <c r="H18" i="1"/>
  <c r="G27" i="1"/>
  <c r="G19" i="1"/>
  <c r="G20" i="1"/>
  <c r="G21" i="1"/>
  <c r="G22" i="1"/>
  <c r="G23" i="1"/>
  <c r="G24" i="1"/>
  <c r="G25" i="1"/>
  <c r="G26" i="1"/>
  <c r="G18" i="1"/>
  <c r="H6" i="1"/>
  <c r="H7" i="1"/>
  <c r="H8" i="1"/>
  <c r="H9" i="1"/>
  <c r="H10" i="1"/>
  <c r="H11" i="1"/>
  <c r="H12" i="1"/>
  <c r="H13" i="1"/>
  <c r="H14" i="1"/>
  <c r="H5" i="1"/>
  <c r="G6" i="1"/>
  <c r="G7" i="1"/>
  <c r="G8" i="1"/>
  <c r="G9" i="1"/>
  <c r="G10" i="1"/>
  <c r="G11" i="1"/>
  <c r="G12" i="1"/>
  <c r="G13" i="1"/>
  <c r="G14" i="1"/>
  <c r="G5" i="1"/>
  <c r="E27" i="1"/>
  <c r="E26" i="1"/>
  <c r="E25" i="1"/>
  <c r="E24" i="1"/>
  <c r="E23" i="1"/>
  <c r="E22" i="1"/>
  <c r="E21" i="1"/>
  <c r="E20" i="1"/>
  <c r="E19" i="1"/>
  <c r="E18" i="1"/>
  <c r="E6" i="1"/>
  <c r="E7" i="1"/>
  <c r="E8" i="1"/>
  <c r="E9" i="1"/>
  <c r="E10" i="1"/>
  <c r="E11" i="1"/>
  <c r="E12" i="1"/>
  <c r="E13" i="1"/>
  <c r="E14" i="1"/>
  <c r="E5" i="1"/>
  <c r="G17" i="2"/>
  <c r="G14" i="2"/>
  <c r="G11" i="2"/>
  <c r="G8" i="2"/>
  <c r="G24" i="2"/>
  <c r="G9" i="2"/>
  <c r="G19" i="2"/>
  <c r="G13" i="2"/>
  <c r="G7" i="2"/>
  <c r="G20" i="2"/>
  <c r="G5" i="2"/>
  <c r="G21" i="2"/>
  <c r="G18" i="2"/>
  <c r="G15" i="2"/>
  <c r="G12" i="2"/>
  <c r="G4" i="2"/>
  <c r="G6" i="2"/>
  <c r="G22" i="2"/>
  <c r="G16" i="2"/>
  <c r="G10" i="2"/>
  <c r="G23" i="2"/>
</calcChain>
</file>

<file path=xl/sharedStrings.xml><?xml version="1.0" encoding="utf-8"?>
<sst xmlns="http://schemas.openxmlformats.org/spreadsheetml/2006/main" count="38" uniqueCount="13">
  <si>
    <t>Cp</t>
  </si>
  <si>
    <t>cal/g/degC</t>
  </si>
  <si>
    <t>J/kg/K</t>
  </si>
  <si>
    <t>Uranium</t>
  </si>
  <si>
    <t>ZircHydride</t>
  </si>
  <si>
    <t>Combined</t>
  </si>
  <si>
    <t>T</t>
  </si>
  <si>
    <t>K</t>
  </si>
  <si>
    <t>Temperature</t>
  </si>
  <si>
    <t>Heat Capacity</t>
  </si>
  <si>
    <t>T [C]</t>
  </si>
  <si>
    <t>T [K]</t>
  </si>
  <si>
    <t>rho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</si>
</sst>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RhoEOL!$B$11:$B$16</c:f>
              <c:numCache>
                <c:formatCode>0.00</c:formatCode>
                <c:ptCount val="6"/>
                <c:pt idx="0">
                  <c:v>20</c:v>
                </c:pt>
                <c:pt idx="1">
                  <c:v>110</c:v>
                </c:pt>
                <c:pt idx="2">
                  <c:v>240</c:v>
                </c:pt>
                <c:pt idx="3">
                  <c:v>340</c:v>
                </c:pt>
                <c:pt idx="4">
                  <c:v>550</c:v>
                </c:pt>
                <c:pt idx="5">
                  <c:v>850</c:v>
                </c:pt>
              </c:numCache>
            </c:numRef>
          </c:xVal>
          <c:yVal>
            <c:numRef>
              <c:f>RhoEOL!$C$11:$C$16</c:f>
              <c:numCache>
                <c:formatCode>0.00E+00</c:formatCode>
                <c:ptCount val="6"/>
                <c:pt idx="0">
                  <c:v>4.0000000000000003E-5</c:v>
                </c:pt>
                <c:pt idx="1">
                  <c:v>4.9499999999999997E-5</c:v>
                </c:pt>
                <c:pt idx="2">
                  <c:v>6.1099999999999994E-5</c:v>
                </c:pt>
                <c:pt idx="3">
                  <c:v>7.0300000000000001E-5</c:v>
                </c:pt>
                <c:pt idx="4">
                  <c:v>8.6000000000000003E-5</c:v>
                </c:pt>
                <c:pt idx="5">
                  <c:v>9.98E-5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6D-4EB1-8554-0FE62C0FC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481928"/>
        <c:axId val="379952296"/>
      </c:scatterChart>
      <c:valAx>
        <c:axId val="373481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52296"/>
        <c:crosses val="autoZero"/>
        <c:crossBetween val="midCat"/>
      </c:valAx>
      <c:valAx>
        <c:axId val="37995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81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RhoBOL!$B$11:$B$16</c:f>
              <c:numCache>
                <c:formatCode>0.00</c:formatCode>
                <c:ptCount val="6"/>
                <c:pt idx="0">
                  <c:v>20</c:v>
                </c:pt>
                <c:pt idx="1">
                  <c:v>110</c:v>
                </c:pt>
                <c:pt idx="2">
                  <c:v>240</c:v>
                </c:pt>
                <c:pt idx="3">
                  <c:v>340</c:v>
                </c:pt>
                <c:pt idx="4">
                  <c:v>550</c:v>
                </c:pt>
                <c:pt idx="5">
                  <c:v>850</c:v>
                </c:pt>
              </c:numCache>
            </c:numRef>
          </c:xVal>
          <c:yVal>
            <c:numRef>
              <c:f>RhoBOL!$C$11:$C$16</c:f>
              <c:numCache>
                <c:formatCode>0.00E+00</c:formatCode>
                <c:ptCount val="6"/>
                <c:pt idx="0">
                  <c:v>4.0000000000000003E-5</c:v>
                </c:pt>
                <c:pt idx="1">
                  <c:v>5.3000000000000001E-5</c:v>
                </c:pt>
                <c:pt idx="2">
                  <c:v>6.8700000000000003E-5</c:v>
                </c:pt>
                <c:pt idx="3">
                  <c:v>8.2600000000000002E-5</c:v>
                </c:pt>
                <c:pt idx="4">
                  <c:v>1.0900000000000001E-4</c:v>
                </c:pt>
                <c:pt idx="5">
                  <c:v>1.3100000000000001E-4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9-4675-8D92-0CE176551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481928"/>
        <c:axId val="379952296"/>
      </c:scatterChart>
      <c:valAx>
        <c:axId val="373481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52296"/>
        <c:crosses val="autoZero"/>
        <c:crossBetween val="midCat"/>
      </c:valAx>
      <c:valAx>
        <c:axId val="37995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81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19</xdr:row>
      <xdr:rowOff>9525</xdr:rowOff>
    </xdr:from>
    <xdr:to>
      <xdr:col>15</xdr:col>
      <xdr:colOff>438150</xdr:colOff>
      <xdr:row>33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19</xdr:row>
      <xdr:rowOff>9525</xdr:rowOff>
    </xdr:from>
    <xdr:to>
      <xdr:col>15</xdr:col>
      <xdr:colOff>438150</xdr:colOff>
      <xdr:row>33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N27"/>
  <sheetViews>
    <sheetView workbookViewId="0">
      <selection activeCell="G5" sqref="G5:H14"/>
    </sheetView>
  </sheetViews>
  <sheetFormatPr defaultRowHeight="15" x14ac:dyDescent="0.25"/>
  <sheetData>
    <row r="2" spans="3:14" x14ac:dyDescent="0.25">
      <c r="C2" t="s">
        <v>3</v>
      </c>
      <c r="G2" t="s">
        <v>5</v>
      </c>
      <c r="K2" t="s">
        <v>5</v>
      </c>
    </row>
    <row r="3" spans="3:14" x14ac:dyDescent="0.25">
      <c r="D3" t="s">
        <v>0</v>
      </c>
      <c r="E3" t="s">
        <v>0</v>
      </c>
      <c r="G3" t="s">
        <v>6</v>
      </c>
      <c r="H3" t="s">
        <v>0</v>
      </c>
      <c r="K3" t="s">
        <v>8</v>
      </c>
      <c r="L3" t="s">
        <v>9</v>
      </c>
      <c r="M3" t="s">
        <v>8</v>
      </c>
      <c r="N3" t="s">
        <v>9</v>
      </c>
    </row>
    <row r="4" spans="3:14" x14ac:dyDescent="0.25">
      <c r="D4" t="s">
        <v>1</v>
      </c>
      <c r="E4" t="s">
        <v>2</v>
      </c>
      <c r="G4" t="s">
        <v>7</v>
      </c>
      <c r="H4" t="s">
        <v>2</v>
      </c>
      <c r="K4" t="s">
        <v>7</v>
      </c>
      <c r="L4" t="s">
        <v>2</v>
      </c>
      <c r="M4" t="s">
        <v>7</v>
      </c>
      <c r="N4" t="s">
        <v>2</v>
      </c>
    </row>
    <row r="5" spans="3:14" x14ac:dyDescent="0.25">
      <c r="C5">
        <v>50</v>
      </c>
      <c r="D5">
        <v>4.6899999999999997E-3</v>
      </c>
      <c r="E5" s="2">
        <f>D5*4.184*1000</f>
        <v>19.622959999999999</v>
      </c>
      <c r="G5">
        <f>C5+273.15</f>
        <v>323.14999999999998</v>
      </c>
      <c r="H5" s="3">
        <f>0.3*E5+0.7*E18</f>
        <v>216.76048799999998</v>
      </c>
      <c r="K5">
        <v>323.14999999999998</v>
      </c>
      <c r="L5" s="3">
        <v>216.76048799999998</v>
      </c>
      <c r="M5">
        <v>773.15</v>
      </c>
      <c r="N5" s="3">
        <v>452.32303519999999</v>
      </c>
    </row>
    <row r="6" spans="3:14" x14ac:dyDescent="0.25">
      <c r="C6">
        <v>100</v>
      </c>
      <c r="D6">
        <v>8.8190000000000004E-3</v>
      </c>
      <c r="E6" s="2">
        <f t="shared" ref="E6:E14" si="0">D6*4.184*1000</f>
        <v>36.898696000000001</v>
      </c>
      <c r="G6">
        <f t="shared" ref="G6:G14" si="1">C6+273.15</f>
        <v>373.15</v>
      </c>
      <c r="H6" s="3">
        <f t="shared" ref="H6:H14" si="2">0.3*E6+0.7*E19</f>
        <v>268.80400880000002</v>
      </c>
      <c r="K6">
        <v>373.15</v>
      </c>
      <c r="L6" s="3">
        <v>268.80400880000002</v>
      </c>
      <c r="M6">
        <v>873.15</v>
      </c>
      <c r="N6" s="3">
        <v>1577.0370456000001</v>
      </c>
    </row>
    <row r="7" spans="3:14" x14ac:dyDescent="0.25">
      <c r="C7">
        <v>200</v>
      </c>
      <c r="D7">
        <v>1.5987999999999999E-2</v>
      </c>
      <c r="E7" s="2">
        <f t="shared" si="0"/>
        <v>66.893791999999991</v>
      </c>
      <c r="G7">
        <f t="shared" si="1"/>
        <v>473.15</v>
      </c>
      <c r="H7" s="3">
        <f t="shared" si="2"/>
        <v>321.14877760000002</v>
      </c>
      <c r="K7">
        <v>473.15</v>
      </c>
      <c r="L7" s="3">
        <v>321.14877760000002</v>
      </c>
      <c r="M7">
        <v>973.15</v>
      </c>
      <c r="N7" s="3">
        <v>535.59802400000001</v>
      </c>
    </row>
    <row r="8" spans="3:14" x14ac:dyDescent="0.25">
      <c r="C8">
        <v>300</v>
      </c>
      <c r="D8">
        <v>2.2228000000000001E-2</v>
      </c>
      <c r="E8" s="2">
        <f t="shared" si="0"/>
        <v>93.001952000000017</v>
      </c>
      <c r="G8">
        <f t="shared" si="1"/>
        <v>573.15</v>
      </c>
      <c r="H8" s="3">
        <f t="shared" si="2"/>
        <v>346.26114560000002</v>
      </c>
      <c r="K8">
        <v>573.15</v>
      </c>
      <c r="L8" s="3">
        <v>346.26114560000002</v>
      </c>
      <c r="M8">
        <v>1073.1500000000001</v>
      </c>
      <c r="N8" s="3">
        <v>430.13193600000005</v>
      </c>
    </row>
    <row r="9" spans="3:14" x14ac:dyDescent="0.25">
      <c r="C9">
        <v>400</v>
      </c>
      <c r="D9">
        <v>2.7900000000000001E-2</v>
      </c>
      <c r="E9" s="2">
        <f t="shared" si="0"/>
        <v>116.73360000000001</v>
      </c>
      <c r="G9">
        <f t="shared" si="1"/>
        <v>673.15</v>
      </c>
      <c r="H9" s="3">
        <f t="shared" si="2"/>
        <v>399.36279999999999</v>
      </c>
      <c r="K9">
        <v>673.15</v>
      </c>
      <c r="L9" s="3">
        <v>399.36279999999999</v>
      </c>
      <c r="M9">
        <v>1173.1500000000001</v>
      </c>
      <c r="N9" s="3">
        <v>414.50887999999998</v>
      </c>
    </row>
    <row r="10" spans="3:14" x14ac:dyDescent="0.25">
      <c r="C10">
        <v>500</v>
      </c>
      <c r="D10">
        <v>3.3225999999999999E-2</v>
      </c>
      <c r="E10" s="2">
        <f t="shared" si="0"/>
        <v>139.017584</v>
      </c>
      <c r="G10">
        <f t="shared" si="1"/>
        <v>773.15</v>
      </c>
      <c r="H10" s="3">
        <f t="shared" si="2"/>
        <v>452.32303519999999</v>
      </c>
    </row>
    <row r="11" spans="3:14" x14ac:dyDescent="0.25">
      <c r="C11">
        <v>600</v>
      </c>
      <c r="D11">
        <v>3.8403E-2</v>
      </c>
      <c r="E11" s="2">
        <f t="shared" si="0"/>
        <v>160.67815200000001</v>
      </c>
      <c r="G11">
        <f t="shared" si="1"/>
        <v>873.15</v>
      </c>
      <c r="H11" s="3">
        <f t="shared" si="2"/>
        <v>1577.0370456000001</v>
      </c>
    </row>
    <row r="12" spans="3:14" x14ac:dyDescent="0.25">
      <c r="C12">
        <v>700</v>
      </c>
      <c r="D12">
        <v>4.6370000000000001E-2</v>
      </c>
      <c r="E12" s="2">
        <f t="shared" si="0"/>
        <v>194.01208</v>
      </c>
      <c r="G12">
        <f t="shared" si="1"/>
        <v>973.15</v>
      </c>
      <c r="H12" s="3">
        <f t="shared" si="2"/>
        <v>535.59802400000001</v>
      </c>
    </row>
    <row r="13" spans="3:14" x14ac:dyDescent="0.25">
      <c r="C13">
        <v>800</v>
      </c>
      <c r="D13">
        <v>5.4980000000000001E-2</v>
      </c>
      <c r="E13" s="2">
        <f t="shared" si="0"/>
        <v>230.03632000000002</v>
      </c>
      <c r="G13">
        <f t="shared" si="1"/>
        <v>1073.1500000000001</v>
      </c>
      <c r="H13" s="3">
        <f t="shared" si="2"/>
        <v>430.13193600000005</v>
      </c>
    </row>
    <row r="14" spans="3:14" x14ac:dyDescent="0.25">
      <c r="C14">
        <v>900</v>
      </c>
      <c r="D14">
        <v>5.8400000000000001E-2</v>
      </c>
      <c r="E14" s="2">
        <f t="shared" si="0"/>
        <v>244.34560000000002</v>
      </c>
      <c r="G14">
        <f t="shared" si="1"/>
        <v>1173.1500000000001</v>
      </c>
      <c r="H14" s="3">
        <f t="shared" si="2"/>
        <v>414.50887999999998</v>
      </c>
    </row>
    <row r="15" spans="3:14" x14ac:dyDescent="0.25">
      <c r="C15" t="s">
        <v>4</v>
      </c>
    </row>
    <row r="16" spans="3:14" x14ac:dyDescent="0.25">
      <c r="D16" t="s">
        <v>0</v>
      </c>
      <c r="E16" t="s">
        <v>0</v>
      </c>
    </row>
    <row r="17" spans="3:8" x14ac:dyDescent="0.25">
      <c r="D17" t="s">
        <v>1</v>
      </c>
      <c r="E17" t="s">
        <v>2</v>
      </c>
    </row>
    <row r="18" spans="3:8" x14ac:dyDescent="0.25">
      <c r="C18">
        <v>50</v>
      </c>
      <c r="D18">
        <v>7.1999999999999995E-2</v>
      </c>
      <c r="E18" s="2">
        <f>D18*4.184*1000</f>
        <v>301.24799999999999</v>
      </c>
      <c r="G18" t="str">
        <f>G5&amp;" K"</f>
        <v>323.15 K</v>
      </c>
      <c r="H18" t="str">
        <f>H5&amp;" "&amp;$H$4</f>
        <v>216.760488 J/kg/K</v>
      </c>
    </row>
    <row r="19" spans="3:8" x14ac:dyDescent="0.25">
      <c r="C19">
        <v>100</v>
      </c>
      <c r="D19">
        <v>8.7999999999999995E-2</v>
      </c>
      <c r="E19" s="2">
        <f t="shared" ref="E19:E27" si="3">D19*4.184*1000</f>
        <v>368.19200000000001</v>
      </c>
      <c r="G19" t="str">
        <f t="shared" ref="G19:G26" si="4">G6&amp;" K"</f>
        <v>373.15 K</v>
      </c>
      <c r="H19" t="str">
        <f t="shared" ref="H19:H27" si="5">H6&amp;" "&amp;$H$4</f>
        <v>268.8040088 J/kg/K</v>
      </c>
    </row>
    <row r="20" spans="3:8" x14ac:dyDescent="0.25">
      <c r="C20">
        <v>200</v>
      </c>
      <c r="D20">
        <v>0.1028</v>
      </c>
      <c r="E20" s="2">
        <f t="shared" si="3"/>
        <v>430.11520000000002</v>
      </c>
      <c r="G20" t="str">
        <f t="shared" si="4"/>
        <v>473.15 K</v>
      </c>
      <c r="H20" t="str">
        <f t="shared" si="5"/>
        <v>321.1487776 J/kg/K</v>
      </c>
    </row>
    <row r="21" spans="3:8" x14ac:dyDescent="0.25">
      <c r="C21">
        <v>300</v>
      </c>
      <c r="D21">
        <v>0.1087</v>
      </c>
      <c r="E21" s="2">
        <f t="shared" si="3"/>
        <v>454.80080000000004</v>
      </c>
      <c r="G21" t="str">
        <f t="shared" si="4"/>
        <v>573.15 K</v>
      </c>
      <c r="H21" t="str">
        <f t="shared" si="5"/>
        <v>346.2611456 J/kg/K</v>
      </c>
    </row>
    <row r="22" spans="3:8" x14ac:dyDescent="0.25">
      <c r="C22">
        <v>400</v>
      </c>
      <c r="D22">
        <v>0.1244</v>
      </c>
      <c r="E22" s="2">
        <f t="shared" si="3"/>
        <v>520.4896</v>
      </c>
      <c r="G22" t="str">
        <f t="shared" si="4"/>
        <v>673.15 K</v>
      </c>
      <c r="H22" t="str">
        <f t="shared" si="5"/>
        <v>399.3628 J/kg/K</v>
      </c>
    </row>
    <row r="23" spans="3:8" x14ac:dyDescent="0.25">
      <c r="C23">
        <v>500</v>
      </c>
      <c r="D23">
        <v>0.14019999999999999</v>
      </c>
      <c r="E23" s="2">
        <f t="shared" si="3"/>
        <v>586.59680000000003</v>
      </c>
      <c r="G23" t="str">
        <f t="shared" si="4"/>
        <v>773.15 K</v>
      </c>
      <c r="H23" t="str">
        <f t="shared" si="5"/>
        <v>452.3230352 J/kg/K</v>
      </c>
    </row>
    <row r="24" spans="3:8" x14ac:dyDescent="0.25">
      <c r="C24">
        <v>600</v>
      </c>
      <c r="D24">
        <v>0.52200000000000002</v>
      </c>
      <c r="E24" s="2">
        <f t="shared" si="3"/>
        <v>2184.0480000000002</v>
      </c>
      <c r="G24" t="str">
        <f t="shared" si="4"/>
        <v>873.15 K</v>
      </c>
      <c r="H24" t="str">
        <f t="shared" si="5"/>
        <v>1577.0370456 J/kg/K</v>
      </c>
    </row>
    <row r="25" spans="3:8" x14ac:dyDescent="0.25">
      <c r="C25">
        <v>700</v>
      </c>
      <c r="D25">
        <v>0.16300000000000001</v>
      </c>
      <c r="E25" s="2">
        <f t="shared" si="3"/>
        <v>681.99200000000008</v>
      </c>
      <c r="G25" t="str">
        <f t="shared" si="4"/>
        <v>973.15 K</v>
      </c>
      <c r="H25" t="str">
        <f t="shared" si="5"/>
        <v>535.598024 J/kg/K</v>
      </c>
    </row>
    <row r="26" spans="3:8" x14ac:dyDescent="0.25">
      <c r="C26">
        <v>800</v>
      </c>
      <c r="D26">
        <v>0.12330000000000001</v>
      </c>
      <c r="E26" s="2">
        <f t="shared" si="3"/>
        <v>515.88720000000012</v>
      </c>
      <c r="G26" t="str">
        <f t="shared" si="4"/>
        <v>1073.15 K</v>
      </c>
      <c r="H26" t="str">
        <f t="shared" si="5"/>
        <v>430.131936 J/kg/K</v>
      </c>
    </row>
    <row r="27" spans="3:8" x14ac:dyDescent="0.25">
      <c r="C27">
        <v>900</v>
      </c>
      <c r="D27">
        <v>0.11650000000000001</v>
      </c>
      <c r="E27" s="2">
        <f t="shared" si="3"/>
        <v>487.43600000000004</v>
      </c>
      <c r="G27" t="str">
        <f>G14&amp;" K"</f>
        <v>1173.15 K</v>
      </c>
      <c r="H27" t="str">
        <f t="shared" si="5"/>
        <v>414.50888 J/kg/K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P25"/>
  <sheetViews>
    <sheetView tabSelected="1" workbookViewId="0">
      <selection activeCell="M4" sqref="M4:M13"/>
    </sheetView>
  </sheetViews>
  <sheetFormatPr defaultRowHeight="15" x14ac:dyDescent="0.25"/>
  <cols>
    <col min="3" max="3" width="18.140625" customWidth="1"/>
  </cols>
  <sheetData>
    <row r="3" spans="2:16" x14ac:dyDescent="0.25">
      <c r="E3" t="s">
        <v>10</v>
      </c>
      <c r="F3" t="s">
        <v>11</v>
      </c>
      <c r="G3" t="s">
        <v>12</v>
      </c>
      <c r="J3" t="s">
        <v>11</v>
      </c>
      <c r="K3" t="s">
        <v>12</v>
      </c>
      <c r="L3" t="s">
        <v>11</v>
      </c>
      <c r="M3" t="s">
        <v>12</v>
      </c>
    </row>
    <row r="4" spans="2:16" x14ac:dyDescent="0.25">
      <c r="B4" s="2">
        <v>20</v>
      </c>
      <c r="C4" s="4">
        <v>3.0000000000000001E-5</v>
      </c>
      <c r="E4">
        <v>20</v>
      </c>
      <c r="F4">
        <f>E4+273.15</f>
        <v>293.14999999999998</v>
      </c>
      <c r="G4" s="1">
        <f>linint($B$4:$B$9,$C$4:$C$9,E4)*(E4-$E$4)/-0.007</f>
        <v>0</v>
      </c>
      <c r="J4">
        <v>293.14999999999998</v>
      </c>
      <c r="K4" s="1">
        <v>0</v>
      </c>
      <c r="L4">
        <v>823.15</v>
      </c>
      <c r="M4" s="1">
        <v>-5.9170714285714281</v>
      </c>
    </row>
    <row r="5" spans="2:16" x14ac:dyDescent="0.25">
      <c r="B5" s="2">
        <v>200</v>
      </c>
      <c r="C5" s="4">
        <v>4.9499999999999997E-5</v>
      </c>
      <c r="E5">
        <v>50</v>
      </c>
      <c r="F5">
        <f t="shared" ref="F5:F24" si="0">E5+273.15</f>
        <v>323.14999999999998</v>
      </c>
      <c r="G5" s="1">
        <f t="shared" ref="G5:G24" si="1">linint($B$4:$B$9,$C$4:$C$9,E5)*(E5-$E$4)/-0.007</f>
        <v>-0.14250000000000002</v>
      </c>
      <c r="J5">
        <v>323.14999999999998</v>
      </c>
      <c r="K5" s="1">
        <v>-0.14250000000000002</v>
      </c>
      <c r="L5">
        <v>873.15</v>
      </c>
      <c r="M5" s="1">
        <v>-6.6920952380952388</v>
      </c>
      <c r="P5">
        <v>1</v>
      </c>
    </row>
    <row r="6" spans="2:16" x14ac:dyDescent="0.25">
      <c r="B6" s="2">
        <v>280</v>
      </c>
      <c r="C6" s="4">
        <v>6.1099999999999994E-5</v>
      </c>
      <c r="E6">
        <v>100</v>
      </c>
      <c r="F6">
        <f t="shared" si="0"/>
        <v>373.15</v>
      </c>
      <c r="G6" s="1">
        <f t="shared" si="1"/>
        <v>-0.44190476190476191</v>
      </c>
      <c r="J6">
        <v>373.15</v>
      </c>
      <c r="K6" s="1">
        <v>-0.44190476190476191</v>
      </c>
      <c r="L6">
        <v>923.15</v>
      </c>
      <c r="M6" s="1">
        <v>-7.5045000000000002</v>
      </c>
      <c r="P6">
        <v>2</v>
      </c>
    </row>
    <row r="7" spans="2:16" x14ac:dyDescent="0.25">
      <c r="B7" s="2">
        <v>400</v>
      </c>
      <c r="C7" s="4">
        <v>7.0300000000000001E-5</v>
      </c>
      <c r="E7">
        <v>150</v>
      </c>
      <c r="F7">
        <f t="shared" si="0"/>
        <v>423.15</v>
      </c>
      <c r="G7" s="1">
        <f t="shared" si="1"/>
        <v>-0.81869047619047619</v>
      </c>
      <c r="J7">
        <v>423.15</v>
      </c>
      <c r="K7" s="1">
        <v>-0.81869047619047619</v>
      </c>
      <c r="L7">
        <v>973.15</v>
      </c>
      <c r="M7" s="1">
        <v>-8.3542857142857141</v>
      </c>
      <c r="P7">
        <v>3</v>
      </c>
    </row>
    <row r="8" spans="2:16" x14ac:dyDescent="0.25">
      <c r="B8" s="2">
        <v>700</v>
      </c>
      <c r="C8" s="4">
        <v>8.6000000000000003E-5</v>
      </c>
      <c r="E8">
        <v>200</v>
      </c>
      <c r="F8">
        <f t="shared" si="0"/>
        <v>473.15</v>
      </c>
      <c r="G8" s="1">
        <f t="shared" si="1"/>
        <v>-1.2728571428571427</v>
      </c>
      <c r="J8">
        <v>473.15</v>
      </c>
      <c r="K8" s="1">
        <v>-1.2728571428571427</v>
      </c>
      <c r="L8">
        <v>1023.15</v>
      </c>
      <c r="M8" s="1">
        <v>-9.2084285714285716</v>
      </c>
      <c r="P8">
        <v>4</v>
      </c>
    </row>
    <row r="9" spans="2:16" x14ac:dyDescent="0.25">
      <c r="B9" s="2">
        <v>1000</v>
      </c>
      <c r="C9" s="4">
        <v>9.98E-5</v>
      </c>
      <c r="E9">
        <v>250</v>
      </c>
      <c r="F9">
        <f t="shared" si="0"/>
        <v>523.15</v>
      </c>
      <c r="G9" s="1">
        <f t="shared" si="1"/>
        <v>-1.864642857142857</v>
      </c>
      <c r="J9">
        <v>523.15</v>
      </c>
      <c r="K9" s="1">
        <v>-1.864642857142857</v>
      </c>
      <c r="L9">
        <v>1073.1500000000001</v>
      </c>
      <c r="M9" s="1">
        <v>-10.095428571428572</v>
      </c>
      <c r="P9">
        <v>5</v>
      </c>
    </row>
    <row r="10" spans="2:16" x14ac:dyDescent="0.25">
      <c r="E10">
        <v>300</v>
      </c>
      <c r="F10">
        <f t="shared" si="0"/>
        <v>573.15</v>
      </c>
      <c r="G10" s="1">
        <f t="shared" si="1"/>
        <v>-2.5053333333333332</v>
      </c>
      <c r="J10">
        <v>573.15</v>
      </c>
      <c r="K10" s="1">
        <v>-2.5053333333333332</v>
      </c>
      <c r="L10">
        <v>1123.1500000000001</v>
      </c>
      <c r="M10" s="1">
        <v>-11.015285714285715</v>
      </c>
      <c r="P10">
        <v>6</v>
      </c>
    </row>
    <row r="11" spans="2:16" x14ac:dyDescent="0.25">
      <c r="B11" s="2">
        <v>20</v>
      </c>
      <c r="C11" s="4">
        <v>4.0000000000000003E-5</v>
      </c>
      <c r="E11">
        <v>350</v>
      </c>
      <c r="F11">
        <f t="shared" si="0"/>
        <v>623.15</v>
      </c>
      <c r="G11" s="1">
        <f t="shared" si="1"/>
        <v>-3.133428571428571</v>
      </c>
      <c r="J11">
        <v>623.15</v>
      </c>
      <c r="K11" s="1">
        <v>-3.133428571428571</v>
      </c>
      <c r="L11">
        <v>1173.1500000000001</v>
      </c>
      <c r="M11" s="1">
        <v>-11.968</v>
      </c>
      <c r="P11">
        <v>7</v>
      </c>
    </row>
    <row r="12" spans="2:16" x14ac:dyDescent="0.25">
      <c r="B12" s="2">
        <f>B5*0.5+0.5*B4</f>
        <v>110</v>
      </c>
      <c r="C12" s="4">
        <v>4.9499999999999997E-5</v>
      </c>
      <c r="E12">
        <v>400</v>
      </c>
      <c r="F12">
        <f t="shared" si="0"/>
        <v>673.15</v>
      </c>
      <c r="G12" s="1">
        <f t="shared" si="1"/>
        <v>-3.8162857142857143</v>
      </c>
      <c r="J12">
        <v>673.15</v>
      </c>
      <c r="K12" s="1">
        <v>-3.8162857142857143</v>
      </c>
      <c r="L12">
        <v>1223.1500000000001</v>
      </c>
      <c r="M12" s="1">
        <v>-12.953571428571427</v>
      </c>
      <c r="P12">
        <v>8</v>
      </c>
    </row>
    <row r="13" spans="2:16" x14ac:dyDescent="0.25">
      <c r="B13" s="2">
        <f>B6*0.5+0.5*B5</f>
        <v>240</v>
      </c>
      <c r="C13" s="4">
        <v>6.1099999999999994E-5</v>
      </c>
      <c r="E13">
        <v>450</v>
      </c>
      <c r="F13">
        <f t="shared" si="0"/>
        <v>723.15</v>
      </c>
      <c r="G13" s="1">
        <f t="shared" si="1"/>
        <v>-4.479166666666667</v>
      </c>
      <c r="J13">
        <v>723.15</v>
      </c>
      <c r="K13" s="1">
        <v>-4.479166666666667</v>
      </c>
      <c r="L13">
        <v>1273.1500000000001</v>
      </c>
      <c r="M13" s="1">
        <v>-13.972</v>
      </c>
      <c r="P13">
        <v>9</v>
      </c>
    </row>
    <row r="14" spans="2:16" x14ac:dyDescent="0.25">
      <c r="B14" s="2">
        <f>B7*0.5+0.5*B6</f>
        <v>340</v>
      </c>
      <c r="C14" s="4">
        <v>7.0300000000000001E-5</v>
      </c>
      <c r="E14">
        <v>500</v>
      </c>
      <c r="F14">
        <f t="shared" si="0"/>
        <v>773.15</v>
      </c>
      <c r="G14" s="1">
        <f t="shared" si="1"/>
        <v>-5.1794285714285708</v>
      </c>
      <c r="J14">
        <v>773.15</v>
      </c>
      <c r="K14" s="1">
        <v>-5.1794285714285708</v>
      </c>
      <c r="M14" s="1"/>
      <c r="P14">
        <v>10</v>
      </c>
    </row>
    <row r="15" spans="2:16" x14ac:dyDescent="0.25">
      <c r="B15" s="2">
        <f>B8*0.5+0.5*B7</f>
        <v>550</v>
      </c>
      <c r="C15" s="4">
        <v>8.6000000000000003E-5</v>
      </c>
      <c r="E15">
        <v>550</v>
      </c>
      <c r="F15">
        <f t="shared" si="0"/>
        <v>823.15</v>
      </c>
      <c r="G15" s="1">
        <f t="shared" si="1"/>
        <v>-5.9170714285714281</v>
      </c>
      <c r="P15">
        <v>11</v>
      </c>
    </row>
    <row r="16" spans="2:16" x14ac:dyDescent="0.25">
      <c r="B16" s="2">
        <f>B9*0.5+0.5*B8</f>
        <v>850</v>
      </c>
      <c r="C16" s="4">
        <v>9.98E-5</v>
      </c>
      <c r="E16">
        <v>600</v>
      </c>
      <c r="F16">
        <f t="shared" si="0"/>
        <v>873.15</v>
      </c>
      <c r="G16" s="1">
        <f t="shared" si="1"/>
        <v>-6.6920952380952388</v>
      </c>
      <c r="P16">
        <v>12</v>
      </c>
    </row>
    <row r="17" spans="5:16" x14ac:dyDescent="0.25">
      <c r="E17">
        <v>650</v>
      </c>
      <c r="F17">
        <f t="shared" si="0"/>
        <v>923.15</v>
      </c>
      <c r="G17" s="1">
        <f t="shared" si="1"/>
        <v>-7.5045000000000002</v>
      </c>
      <c r="P17">
        <v>13</v>
      </c>
    </row>
    <row r="18" spans="5:16" x14ac:dyDescent="0.25">
      <c r="E18">
        <v>700</v>
      </c>
      <c r="F18">
        <f t="shared" si="0"/>
        <v>973.15</v>
      </c>
      <c r="G18" s="1">
        <f t="shared" si="1"/>
        <v>-8.3542857142857141</v>
      </c>
      <c r="P18">
        <v>14</v>
      </c>
    </row>
    <row r="19" spans="5:16" x14ac:dyDescent="0.25">
      <c r="E19">
        <v>750</v>
      </c>
      <c r="F19">
        <f t="shared" si="0"/>
        <v>1023.15</v>
      </c>
      <c r="G19" s="1">
        <f t="shared" si="1"/>
        <v>-9.2084285714285716</v>
      </c>
      <c r="P19">
        <v>15</v>
      </c>
    </row>
    <row r="20" spans="5:16" x14ac:dyDescent="0.25">
      <c r="E20">
        <v>800</v>
      </c>
      <c r="F20">
        <f t="shared" si="0"/>
        <v>1073.1500000000001</v>
      </c>
      <c r="G20" s="1">
        <f t="shared" si="1"/>
        <v>-10.095428571428572</v>
      </c>
      <c r="P20">
        <v>16</v>
      </c>
    </row>
    <row r="21" spans="5:16" x14ac:dyDescent="0.25">
      <c r="E21">
        <v>850</v>
      </c>
      <c r="F21">
        <f t="shared" si="0"/>
        <v>1123.1500000000001</v>
      </c>
      <c r="G21" s="1">
        <f t="shared" si="1"/>
        <v>-11.015285714285715</v>
      </c>
      <c r="P21">
        <v>17</v>
      </c>
    </row>
    <row r="22" spans="5:16" x14ac:dyDescent="0.25">
      <c r="E22">
        <v>900</v>
      </c>
      <c r="F22">
        <f t="shared" si="0"/>
        <v>1173.1500000000001</v>
      </c>
      <c r="G22" s="1">
        <f t="shared" si="1"/>
        <v>-11.968</v>
      </c>
      <c r="P22">
        <v>18</v>
      </c>
    </row>
    <row r="23" spans="5:16" x14ac:dyDescent="0.25">
      <c r="E23">
        <v>950</v>
      </c>
      <c r="F23">
        <f t="shared" si="0"/>
        <v>1223.1500000000001</v>
      </c>
      <c r="G23" s="1">
        <f t="shared" si="1"/>
        <v>-12.953571428571427</v>
      </c>
      <c r="P23">
        <v>19</v>
      </c>
    </row>
    <row r="24" spans="5:16" x14ac:dyDescent="0.25">
      <c r="E24">
        <v>1000</v>
      </c>
      <c r="F24">
        <f t="shared" si="0"/>
        <v>1273.1500000000001</v>
      </c>
      <c r="G24" s="1">
        <f t="shared" si="1"/>
        <v>-13.972</v>
      </c>
      <c r="P24">
        <v>20</v>
      </c>
    </row>
    <row r="25" spans="5:16" x14ac:dyDescent="0.25">
      <c r="P25">
        <v>21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P25"/>
  <sheetViews>
    <sheetView workbookViewId="0">
      <selection activeCell="G4" sqref="G4:G24"/>
    </sheetView>
  </sheetViews>
  <sheetFormatPr defaultRowHeight="15" x14ac:dyDescent="0.25"/>
  <cols>
    <col min="3" max="3" width="18.140625" customWidth="1"/>
  </cols>
  <sheetData>
    <row r="3" spans="2:16" x14ac:dyDescent="0.25">
      <c r="E3" t="s">
        <v>10</v>
      </c>
      <c r="F3" t="s">
        <v>11</v>
      </c>
      <c r="G3" t="s">
        <v>12</v>
      </c>
      <c r="J3" t="s">
        <v>11</v>
      </c>
      <c r="K3" t="s">
        <v>12</v>
      </c>
      <c r="L3" t="s">
        <v>11</v>
      </c>
      <c r="M3" t="s">
        <v>12</v>
      </c>
    </row>
    <row r="4" spans="2:16" x14ac:dyDescent="0.25">
      <c r="B4" s="2">
        <v>20</v>
      </c>
      <c r="C4" s="4">
        <v>5.3000000000000001E-5</v>
      </c>
      <c r="E4">
        <v>20</v>
      </c>
      <c r="F4">
        <f>E4+273.15</f>
        <v>293.14999999999998</v>
      </c>
      <c r="G4" s="1">
        <f>linint($B$4:$B$9,$C$4:$C$9,E4)*(E4-$E$4)/-0.007</f>
        <v>0</v>
      </c>
      <c r="J4">
        <v>293.14999999999998</v>
      </c>
      <c r="K4" s="1">
        <v>0</v>
      </c>
      <c r="L4">
        <v>823.15</v>
      </c>
      <c r="M4" s="1">
        <v>-5.9170714285714281</v>
      </c>
    </row>
    <row r="5" spans="2:16" x14ac:dyDescent="0.25">
      <c r="B5" s="2">
        <v>200</v>
      </c>
      <c r="C5" s="4">
        <v>5.3000000000000001E-5</v>
      </c>
      <c r="E5">
        <v>50</v>
      </c>
      <c r="F5">
        <f t="shared" ref="F5:F24" si="0">E5+273.15</f>
        <v>323.14999999999998</v>
      </c>
      <c r="G5" s="1">
        <f t="shared" ref="G5:G24" si="1">linint($B$4:$B$9,$C$4:$C$9,E5)*(E5-$E$4)/-0.007</f>
        <v>-0.22714285714285715</v>
      </c>
      <c r="J5">
        <v>323.14999999999998</v>
      </c>
      <c r="K5" s="1">
        <v>-0.21214285714285713</v>
      </c>
      <c r="L5">
        <v>873.15</v>
      </c>
      <c r="M5" s="1">
        <v>-6.6920952380952388</v>
      </c>
      <c r="P5">
        <v>1</v>
      </c>
    </row>
    <row r="6" spans="2:16" x14ac:dyDescent="0.25">
      <c r="B6" s="2">
        <v>280</v>
      </c>
      <c r="C6" s="4">
        <v>6.8700000000000003E-5</v>
      </c>
      <c r="E6">
        <v>100</v>
      </c>
      <c r="F6">
        <f t="shared" si="0"/>
        <v>373.15</v>
      </c>
      <c r="G6" s="1">
        <f t="shared" si="1"/>
        <v>-0.60571428571428565</v>
      </c>
      <c r="J6">
        <v>373.15</v>
      </c>
      <c r="K6" s="1">
        <v>-0.56571428571428573</v>
      </c>
      <c r="L6">
        <v>923.15</v>
      </c>
      <c r="M6" s="1">
        <v>-7.5045000000000002</v>
      </c>
      <c r="P6">
        <v>2</v>
      </c>
    </row>
    <row r="7" spans="2:16" x14ac:dyDescent="0.25">
      <c r="B7" s="2">
        <v>400</v>
      </c>
      <c r="C7" s="4">
        <v>8.2600000000000002E-5</v>
      </c>
      <c r="E7">
        <v>150</v>
      </c>
      <c r="F7">
        <f t="shared" si="0"/>
        <v>423.15</v>
      </c>
      <c r="G7" s="1">
        <f t="shared" si="1"/>
        <v>-0.98428571428571432</v>
      </c>
      <c r="J7">
        <v>423.15</v>
      </c>
      <c r="K7" s="1">
        <v>-0.91928571428571426</v>
      </c>
      <c r="L7">
        <v>973.15</v>
      </c>
      <c r="M7" s="1">
        <v>-8.3542857142857141</v>
      </c>
      <c r="P7">
        <v>3</v>
      </c>
    </row>
    <row r="8" spans="2:16" x14ac:dyDescent="0.25">
      <c r="B8" s="2">
        <v>700</v>
      </c>
      <c r="C8" s="4">
        <v>1.0900000000000001E-4</v>
      </c>
      <c r="E8">
        <v>200</v>
      </c>
      <c r="F8">
        <f t="shared" si="0"/>
        <v>473.15</v>
      </c>
      <c r="G8" s="1">
        <f t="shared" si="1"/>
        <v>-1.3628571428571428</v>
      </c>
      <c r="J8">
        <v>473.15</v>
      </c>
      <c r="K8" s="1">
        <v>-1.2728571428571427</v>
      </c>
      <c r="L8">
        <v>1023.15</v>
      </c>
      <c r="M8" s="1">
        <v>-9.2084285714285716</v>
      </c>
      <c r="P8">
        <v>4</v>
      </c>
    </row>
    <row r="9" spans="2:16" x14ac:dyDescent="0.25">
      <c r="B9" s="2">
        <v>1000</v>
      </c>
      <c r="C9" s="4">
        <v>1.3100000000000001E-4</v>
      </c>
      <c r="E9">
        <v>250</v>
      </c>
      <c r="F9">
        <f t="shared" si="0"/>
        <v>523.15</v>
      </c>
      <c r="G9" s="1">
        <f t="shared" si="1"/>
        <v>-2.0638392857142858</v>
      </c>
      <c r="J9">
        <v>523.15</v>
      </c>
      <c r="K9" s="1">
        <v>-1.864642857142857</v>
      </c>
      <c r="L9">
        <v>1073.1500000000001</v>
      </c>
      <c r="M9" s="1">
        <v>-10.095428571428572</v>
      </c>
      <c r="P9">
        <v>5</v>
      </c>
    </row>
    <row r="10" spans="2:16" x14ac:dyDescent="0.25">
      <c r="E10">
        <v>300</v>
      </c>
      <c r="F10">
        <f t="shared" si="0"/>
        <v>573.15</v>
      </c>
      <c r="G10" s="1">
        <f t="shared" si="1"/>
        <v>-2.8406666666666669</v>
      </c>
      <c r="J10">
        <v>573.15</v>
      </c>
      <c r="K10" s="1">
        <v>-2.5053333333333332</v>
      </c>
      <c r="L10">
        <v>1123.1500000000001</v>
      </c>
      <c r="M10" s="1">
        <v>-11.015285714285715</v>
      </c>
      <c r="P10">
        <v>6</v>
      </c>
    </row>
    <row r="11" spans="2:16" x14ac:dyDescent="0.25">
      <c r="B11" s="2">
        <v>20</v>
      </c>
      <c r="C11" s="4">
        <v>4.0000000000000003E-5</v>
      </c>
      <c r="E11">
        <v>350</v>
      </c>
      <c r="F11">
        <f t="shared" si="0"/>
        <v>623.15</v>
      </c>
      <c r="G11" s="1">
        <f t="shared" si="1"/>
        <v>-3.6209642857142859</v>
      </c>
      <c r="J11">
        <v>623.15</v>
      </c>
      <c r="K11" s="1">
        <v>-3.133428571428571</v>
      </c>
      <c r="L11">
        <v>1173.1500000000001</v>
      </c>
      <c r="M11" s="1">
        <v>-11.968</v>
      </c>
      <c r="P11">
        <v>7</v>
      </c>
    </row>
    <row r="12" spans="2:16" x14ac:dyDescent="0.25">
      <c r="B12" s="2">
        <f>B5*0.5+0.5*B4</f>
        <v>110</v>
      </c>
      <c r="C12" s="4">
        <v>5.3000000000000001E-5</v>
      </c>
      <c r="E12">
        <v>400</v>
      </c>
      <c r="F12">
        <f t="shared" si="0"/>
        <v>673.15</v>
      </c>
      <c r="G12" s="1">
        <f t="shared" si="1"/>
        <v>-4.484</v>
      </c>
      <c r="J12">
        <v>673.15</v>
      </c>
      <c r="K12" s="1">
        <v>-3.8162857142857143</v>
      </c>
      <c r="L12">
        <v>1223.1500000000001</v>
      </c>
      <c r="M12" s="1">
        <v>-12.953571428571427</v>
      </c>
      <c r="P12">
        <v>8</v>
      </c>
    </row>
    <row r="13" spans="2:16" x14ac:dyDescent="0.25">
      <c r="B13" s="2">
        <f>B6*0.5+0.5*B5</f>
        <v>240</v>
      </c>
      <c r="C13" s="4">
        <v>6.8700000000000003E-5</v>
      </c>
      <c r="E13">
        <v>450</v>
      </c>
      <c r="F13">
        <f t="shared" si="0"/>
        <v>723.15</v>
      </c>
      <c r="G13" s="1">
        <f t="shared" si="1"/>
        <v>-5.3442857142857143</v>
      </c>
      <c r="J13">
        <v>723.15</v>
      </c>
      <c r="K13" s="1">
        <v>-4.479166666666667</v>
      </c>
      <c r="L13">
        <v>1273.1500000000001</v>
      </c>
      <c r="M13" s="1">
        <v>-13.972</v>
      </c>
      <c r="P13">
        <v>9</v>
      </c>
    </row>
    <row r="14" spans="2:16" x14ac:dyDescent="0.25">
      <c r="B14" s="2">
        <f>B7*0.5+0.5*B6</f>
        <v>340</v>
      </c>
      <c r="C14" s="4">
        <v>8.2600000000000002E-5</v>
      </c>
      <c r="E14">
        <v>500</v>
      </c>
      <c r="F14">
        <f t="shared" si="0"/>
        <v>773.15</v>
      </c>
      <c r="G14" s="1">
        <f t="shared" si="1"/>
        <v>-6.2674285714285718</v>
      </c>
      <c r="J14">
        <v>773.15</v>
      </c>
      <c r="K14" s="1">
        <v>-5.1794285714285708</v>
      </c>
      <c r="M14" s="1"/>
      <c r="P14">
        <v>10</v>
      </c>
    </row>
    <row r="15" spans="2:16" x14ac:dyDescent="0.25">
      <c r="B15" s="2">
        <f>B8*0.5+0.5*B7</f>
        <v>550</v>
      </c>
      <c r="C15" s="4">
        <v>1.0900000000000001E-4</v>
      </c>
      <c r="E15">
        <v>550</v>
      </c>
      <c r="F15">
        <f t="shared" si="0"/>
        <v>823.15</v>
      </c>
      <c r="G15" s="1">
        <f t="shared" si="1"/>
        <v>-7.2534285714285716</v>
      </c>
      <c r="P15">
        <v>11</v>
      </c>
    </row>
    <row r="16" spans="2:16" x14ac:dyDescent="0.25">
      <c r="B16" s="2">
        <f>B9*0.5+0.5*B8</f>
        <v>850</v>
      </c>
      <c r="C16" s="4">
        <v>1.3100000000000001E-4</v>
      </c>
      <c r="E16">
        <v>600</v>
      </c>
      <c r="F16">
        <f t="shared" si="0"/>
        <v>873.15</v>
      </c>
      <c r="G16" s="1">
        <f t="shared" si="1"/>
        <v>-8.3022857142857145</v>
      </c>
      <c r="P16">
        <v>12</v>
      </c>
    </row>
    <row r="17" spans="5:16" x14ac:dyDescent="0.25">
      <c r="E17">
        <v>650</v>
      </c>
      <c r="F17">
        <f t="shared" si="0"/>
        <v>923.15</v>
      </c>
      <c r="G17" s="1">
        <f t="shared" si="1"/>
        <v>-9.4139999999999997</v>
      </c>
      <c r="P17">
        <v>13</v>
      </c>
    </row>
    <row r="18" spans="5:16" x14ac:dyDescent="0.25">
      <c r="E18">
        <v>700</v>
      </c>
      <c r="F18">
        <f t="shared" si="0"/>
        <v>973.15</v>
      </c>
      <c r="G18" s="1">
        <f t="shared" si="1"/>
        <v>-10.588571428571429</v>
      </c>
      <c r="P18">
        <v>14</v>
      </c>
    </row>
    <row r="19" spans="5:16" x14ac:dyDescent="0.25">
      <c r="E19">
        <v>750</v>
      </c>
      <c r="F19">
        <f t="shared" si="0"/>
        <v>1023.15</v>
      </c>
      <c r="G19" s="1">
        <f t="shared" si="1"/>
        <v>-11.749523809523811</v>
      </c>
      <c r="P19">
        <v>15</v>
      </c>
    </row>
    <row r="20" spans="5:16" x14ac:dyDescent="0.25">
      <c r="E20">
        <v>800</v>
      </c>
      <c r="F20">
        <f t="shared" si="0"/>
        <v>1073.1500000000001</v>
      </c>
      <c r="G20" s="1">
        <f t="shared" si="1"/>
        <v>-12.962857142857144</v>
      </c>
      <c r="P20">
        <v>16</v>
      </c>
    </row>
    <row r="21" spans="5:16" x14ac:dyDescent="0.25">
      <c r="E21">
        <v>850</v>
      </c>
      <c r="F21">
        <f t="shared" si="0"/>
        <v>1123.1500000000001</v>
      </c>
      <c r="G21" s="1">
        <f t="shared" si="1"/>
        <v>-14.22857142857143</v>
      </c>
      <c r="P21">
        <v>17</v>
      </c>
    </row>
    <row r="22" spans="5:16" x14ac:dyDescent="0.25">
      <c r="E22">
        <v>900</v>
      </c>
      <c r="F22">
        <f t="shared" si="0"/>
        <v>1173.1500000000001</v>
      </c>
      <c r="G22" s="1">
        <f t="shared" si="1"/>
        <v>-15.546666666666667</v>
      </c>
      <c r="P22">
        <v>18</v>
      </c>
    </row>
    <row r="23" spans="5:16" x14ac:dyDescent="0.25">
      <c r="E23">
        <v>950</v>
      </c>
      <c r="F23">
        <f t="shared" si="0"/>
        <v>1223.1500000000001</v>
      </c>
      <c r="G23" s="1">
        <f t="shared" si="1"/>
        <v>-16.91714285714286</v>
      </c>
      <c r="P23">
        <v>19</v>
      </c>
    </row>
    <row r="24" spans="5:16" x14ac:dyDescent="0.25">
      <c r="E24">
        <v>1000</v>
      </c>
      <c r="F24">
        <f t="shared" si="0"/>
        <v>1273.1500000000001</v>
      </c>
      <c r="G24" s="1">
        <f t="shared" si="1"/>
        <v>-18.340000000000003</v>
      </c>
      <c r="P24">
        <v>20</v>
      </c>
    </row>
    <row r="25" spans="5:16" x14ac:dyDescent="0.25">
      <c r="P25">
        <v>21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Cp</vt:lpstr>
      <vt:lpstr>RhoEOL</vt:lpstr>
      <vt:lpstr>RhoBOL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Naktakala</cp:lastModifiedBy>
  <dcterms:created xsi:type="dcterms:W3CDTF">2015-06-05T18:17:20Z</dcterms:created>
  <dcterms:modified xsi:type="dcterms:W3CDTF">2016-03-22T21:58:50Z</dcterms:modified>
</cp:coreProperties>
</file>